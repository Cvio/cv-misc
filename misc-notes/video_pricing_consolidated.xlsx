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up" sheetId="2" state="visible" r:id="rId4"/>
    <sheet name="Comparison" sheetId="3" state="visible" r:id="rId5"/>
    <sheet name="Kling" sheetId="4" state="visible" r:id="rId6"/>
    <sheet name="Veo" sheetId="5" state="visible" r:id="rId7"/>
    <sheet name="Vidu" sheetId="6" state="visible" r:id="rId8"/>
    <sheet name="Seedance" sheetId="7" state="visible" r:id="rId9"/>
    <sheet name="Pixver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<sst xmlns="http://schemas.openxmlformats.org/spreadsheetml/2006/main" count="295" uniqueCount="136">
  <si>
    <t xml:space="preserve">Video Model Pricing — Consolidated</t>
  </si>
  <si>
    <t xml:space="preserve">Source: ComfyUI partner-node catalog (211 credits = $1 USD).</t>
  </si>
  <si>
    <t xml:space="preserve">All USD values are calculated from credit costs using formulas — edit the credit</t>
  </si>
  <si>
    <t xml:space="preserve">rate in the 'Setup' sheet if it changes.</t>
  </si>
  <si>
    <t xml:space="preserve">Sheets:</t>
  </si>
  <si>
    <t xml:space="preserve">  • Setup — credit-to-USD conversion rate (referenced by all other sheets)</t>
  </si>
  <si>
    <t xml:space="preserve">  • Kling — all Kling models, with 60-second cost column</t>
  </si>
  <si>
    <t xml:space="preserve">  • Veo — Google Veo 2 / Veo 3 (8-second clips)</t>
  </si>
  <si>
    <t xml:space="preserve">  • Seedance — ByteDance Seedance (token-based, with example calculator)</t>
  </si>
  <si>
    <t xml:space="preserve">  • Pixverse — Pixverse v3.5</t>
  </si>
  <si>
    <t xml:space="preserve">  • Comparison — best option per use case for a 60-second video</t>
  </si>
  <si>
    <t xml:space="preserve">Use case assumed throughout: reference image + text prompt → ~60 second video</t>
  </si>
  <si>
    <t xml:space="preserve">of a realistic person (e.g., cooking, talking to camera).</t>
  </si>
  <si>
    <t xml:space="preserve">Credits per USD</t>
  </si>
  <si>
    <t xml:space="preserve">USD per credit</t>
  </si>
  <si>
    <t xml:space="preserve">Edit B1 to change the conversion rate.</t>
  </si>
  <si>
    <t xml:space="preserve">Rank</t>
  </si>
  <si>
    <t xml:space="preserve">Model</t>
  </si>
  <si>
    <t xml:space="preserve">Config</t>
  </si>
  <si>
    <t xml:space="preserve">60s cost (USD)</t>
  </si>
  <si>
    <t xml:space="preserve">Native dialogue?</t>
  </si>
  <si>
    <t xml:space="preserve">Best for</t>
  </si>
  <si>
    <t xml:space="preserve">Vidu Q3 Turbo</t>
  </si>
  <si>
    <t xml:space="preserve">720p (+ own voiceover)</t>
  </si>
  <si>
    <t xml:space="preserve">No</t>
  </si>
  <si>
    <t xml:space="preserve">New cheapest realistic option; good for characters</t>
  </si>
  <si>
    <t xml:space="preserve">Kling 2.6</t>
  </si>
  <si>
    <t xml:space="preserve">pro silent (+ own voiceover)</t>
  </si>
  <si>
    <t xml:space="preserve">Best-known quality at low cost</t>
  </si>
  <si>
    <t xml:space="preserve">1080p (+ own voiceover)</t>
  </si>
  <si>
    <t xml:space="preserve">1080p for less than Kling 720p</t>
  </si>
  <si>
    <t xml:space="preserve">Kling 2.5 Turbo</t>
  </si>
  <si>
    <t xml:space="preserve">pro, silent</t>
  </si>
  <si>
    <t xml:space="preserve">Slightly older Kling, same price</t>
  </si>
  <si>
    <t xml:space="preserve">Veo 3 Fast</t>
  </si>
  <si>
    <t xml:space="preserve">with audio</t>
  </si>
  <si>
    <t xml:space="preserve">Yes</t>
  </si>
  <si>
    <t xml:space="preserve">Only cheap option with built-in lip sync</t>
  </si>
  <si>
    <t xml:space="preserve">pro, sound on</t>
  </si>
  <si>
    <t xml:space="preserve">Limited</t>
  </si>
  <si>
    <t xml:space="preserve">Ambient sound, not full dialogue</t>
  </si>
  <si>
    <t xml:space="preserve">Vidu Q3 Pro</t>
  </si>
  <si>
    <t xml:space="preserve">1080p</t>
  </si>
  <si>
    <t xml:space="preserve">Higher fidelity Vidu tier</t>
  </si>
  <si>
    <t xml:space="preserve">Veo 3 Standard</t>
  </si>
  <si>
    <t xml:space="preserve">Best lip sync if budget allows</t>
  </si>
  <si>
    <t xml:space="preserve">Seedance 1.5 Pro</t>
  </si>
  <si>
    <t xml:space="preserve">720p, no audio</t>
  </si>
  <si>
    <t xml:space="preserve">Cheapest overall; quality varies</t>
  </si>
  <si>
    <t xml:space="preserve">Pixverse v3.5</t>
  </si>
  <si>
    <t xml:space="preserve">720p, normal</t>
  </si>
  <si>
    <t xml:space="preserve">Skip for realistic humans</t>
  </si>
  <si>
    <t xml:space="preserve">Mode / Config</t>
  </si>
  <si>
    <t xml:space="preserve">Billing</t>
  </si>
  <si>
    <t xml:space="preserve">Credits</t>
  </si>
  <si>
    <t xml:space="preserve">USD per unit</t>
  </si>
  <si>
    <t xml:space="preserve">Unit</t>
  </si>
  <si>
    <t xml:space="preserve">60-sec cost (USD)</t>
  </si>
  <si>
    <t xml:space="preserve">pro, sound off</t>
  </si>
  <si>
    <t xml:space="preserve">per second</t>
  </si>
  <si>
    <t xml:space="preserve">sec</t>
  </si>
  <si>
    <t xml:space="preserve">pro</t>
  </si>
  <si>
    <t xml:space="preserve">per run (5s)</t>
  </si>
  <si>
    <t xml:space="preserve">run</t>
  </si>
  <si>
    <t xml:space="preserve">Kling 2.1</t>
  </si>
  <si>
    <t xml:space="preserve">std</t>
  </si>
  <si>
    <t xml:space="preserve">Kling 2.1 Master</t>
  </si>
  <si>
    <t xml:space="preserve">pro / std</t>
  </si>
  <si>
    <t xml:space="preserve">Kling 2 Master</t>
  </si>
  <si>
    <t xml:space="preserve">Kling 1.6</t>
  </si>
  <si>
    <t xml:space="preserve">Kling 1.5</t>
  </si>
  <si>
    <t xml:space="preserve">Kling Omni O1</t>
  </si>
  <si>
    <t xml:space="preserve">std, no video input</t>
  </si>
  <si>
    <t xml:space="preserve">pro, no video input</t>
  </si>
  <si>
    <t xml:space="preserve">std, with video input</t>
  </si>
  <si>
    <t xml:space="preserve">pro, with video input</t>
  </si>
  <si>
    <t xml:space="preserve">Kling Motion Control</t>
  </si>
  <si>
    <t xml:space="preserve">std, v2.6</t>
  </si>
  <si>
    <t xml:space="preserve">per run</t>
  </si>
  <si>
    <t xml:space="preserve">N/A</t>
  </si>
  <si>
    <t xml:space="preserve">pro, v2.6</t>
  </si>
  <si>
    <t xml:space="preserve">Kling Video Extension</t>
  </si>
  <si>
    <t xml:space="preserve">—</t>
  </si>
  <si>
    <t xml:space="preserve">Kling Lip Sync</t>
  </si>
  <si>
    <t xml:space="preserve">Audio</t>
  </si>
  <si>
    <t xml:space="preserve">Clip Length</t>
  </si>
  <si>
    <t xml:space="preserve">Credits/run</t>
  </si>
  <si>
    <t xml:space="preserve">USD/run</t>
  </si>
  <si>
    <t xml:space="preserve">Notes</t>
  </si>
  <si>
    <t xml:space="preserve">no</t>
  </si>
  <si>
    <t xml:space="preserve">8s</t>
  </si>
  <si>
    <t xml:space="preserve">Cheapest Veo 3 option</t>
  </si>
  <si>
    <t xml:space="preserve">yes</t>
  </si>
  <si>
    <t xml:space="preserve">Cheapest with native lip sync</t>
  </si>
  <si>
    <t xml:space="preserve">Higher quality, silent</t>
  </si>
  <si>
    <t xml:space="preserve">Best lip sync, most expensive</t>
  </si>
  <si>
    <t xml:space="preserve">Veo 2</t>
  </si>
  <si>
    <t xml:space="preserve">Older generation</t>
  </si>
  <si>
    <t xml:space="preserve">Resolution</t>
  </si>
  <si>
    <t xml:space="preserve">Credits/sec</t>
  </si>
  <si>
    <t xml:space="preserve">USD/sec</t>
  </si>
  <si>
    <t xml:space="preserve">540p</t>
  </si>
  <si>
    <t xml:space="preserve">720p</t>
  </si>
  <si>
    <t xml:space="preserve">Mode</t>
  </si>
  <si>
    <t xml:space="preserve">USD/M tokens or run</t>
  </si>
  <si>
    <t xml:space="preserve">Seedance 1.0 Lite</t>
  </si>
  <si>
    <t xml:space="preserve">i2v</t>
  </si>
  <si>
    <t xml:space="preserve">per 1M tokens</t>
  </si>
  <si>
    <t xml:space="preserve">Cheapest tier</t>
  </si>
  <si>
    <t xml:space="preserve">t2v</t>
  </si>
  <si>
    <t xml:space="preserve">Seedance 1.0 Pro</t>
  </si>
  <si>
    <t xml:space="preserve">Standard quality</t>
  </si>
  <si>
    <t xml:space="preserve">Seedance 1.0 Pro Fast</t>
  </si>
  <si>
    <t xml:space="preserve">Faster, cheaper</t>
  </si>
  <si>
    <t xml:space="preserve">no audio</t>
  </si>
  <si>
    <t xml:space="preserve">Newest, silent</t>
  </si>
  <si>
    <t xml:space="preserve">Newest, with audio</t>
  </si>
  <si>
    <t xml:space="preserve">Seedream 4.5</t>
  </si>
  <si>
    <t xml:space="preserve">Image-derived video</t>
  </si>
  <si>
    <t xml:space="preserve">60-second cost calculator</t>
  </si>
  <si>
    <t xml:space="preserve">Width (px)</t>
  </si>
  <si>
    <t xml:space="preserve">Height (px)</t>
  </si>
  <si>
    <t xml:space="preserve">Frame rate (fps)</t>
  </si>
  <si>
    <t xml:space="preserve">Duration (sec)</t>
  </si>
  <si>
    <t xml:space="preserve">Tokens (formula)</t>
  </si>
  <si>
    <t xml:space="preserve">Million tokens</t>
  </si>
  <si>
    <t xml:space="preserve">Cost @ 1280×720, 24fps, 60s:</t>
  </si>
  <si>
    <t xml:space="preserve">Seedance 1.5 Pro (no audio)</t>
  </si>
  <si>
    <t xml:space="preserve">Seedance 1.5 Pro (audio)</t>
  </si>
  <si>
    <t xml:space="preserve">Quality</t>
  </si>
  <si>
    <t xml:space="preserve">Motion</t>
  </si>
  <si>
    <t xml:space="preserve">v3.5</t>
  </si>
  <si>
    <t xml:space="preserve">360p</t>
  </si>
  <si>
    <t xml:space="preserve">normal</t>
  </si>
  <si>
    <t xml:space="preserve">5s</t>
  </si>
  <si>
    <t xml:space="preserve">fast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</si>
</sst>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000"/>
    <numFmt numFmtId="166" formatCode="\$#,##0.00"/>
    <numFmt numFmtId="167" formatCode="\$#,##0.0000"/>
    <numFmt numFmtId="168" formatCode="\$#,##0.00"/>
    <numFmt numFmtId="169" formatCode="\$#,##0.000"/>
    <numFmt numFmtId="170" formatCode="\$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</cols>
  <sheetData>
    <row r="1" customFormat="false" ht="15" hidden="false" customHeight="true" outlineLevel="0" collapsed="false">
      <c r="A1" s="4" t="s">
        <v>13</v>
      </c>
      <c r="B1" s="5" t="n">
        <v>211</v>
      </c>
    </row>
    <row r="2" customFormat="false" ht="15" hidden="false" customHeight="true" outlineLevel="0" collapsed="false">
      <c r="A2" s="1" t="s">
        <v>14</v>
      </c>
      <c r="B2" s="6" t="n">
        <f aca="false">1/B1</f>
        <v>0.004739336492891</v>
      </c>
    </row>
    <row r="4" customFormat="false" ht="15" hidden="false" customHeight="true" outlineLevel="0" collapsed="false">
      <c r="A4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customFormat="false" ht="23.85" hidden="false" customHeight="false" outlineLevel="0" collapsed="false">
      <c r="A2" s="9" t="n">
        <v>1</v>
      </c>
      <c r="B2" s="10" t="s">
        <v>22</v>
      </c>
      <c r="C2" s="10" t="s">
        <v>23</v>
      </c>
      <c r="D2" s="11" t="n">
        <v>3.6</v>
      </c>
      <c r="E2" s="9" t="s">
        <v>24</v>
      </c>
      <c r="F2" s="10" t="s">
        <v>25</v>
      </c>
    </row>
    <row r="3" customFormat="false" ht="15" hidden="false" customHeight="false" outlineLevel="0" collapsed="false">
      <c r="A3" s="9" t="n">
        <v>2</v>
      </c>
      <c r="B3" s="10" t="s">
        <v>26</v>
      </c>
      <c r="C3" s="10" t="s">
        <v>27</v>
      </c>
      <c r="D3" s="11" t="n">
        <v>4.2</v>
      </c>
      <c r="E3" s="9" t="s">
        <v>24</v>
      </c>
      <c r="F3" s="10" t="s">
        <v>28</v>
      </c>
    </row>
    <row r="4" customFormat="false" ht="15" hidden="false" customHeight="false" outlineLevel="0" collapsed="false">
      <c r="A4" s="9" t="n">
        <v>3</v>
      </c>
      <c r="B4" s="10" t="s">
        <v>22</v>
      </c>
      <c r="C4" s="10" t="s">
        <v>29</v>
      </c>
      <c r="D4" s="11" t="n">
        <v>4.8</v>
      </c>
      <c r="E4" s="9" t="s">
        <v>24</v>
      </c>
      <c r="F4" s="10" t="s">
        <v>30</v>
      </c>
    </row>
    <row r="5" customFormat="false" ht="15" hidden="false" customHeight="false" outlineLevel="0" collapsed="false">
      <c r="A5" s="9" t="n">
        <v>4</v>
      </c>
      <c r="B5" s="10" t="s">
        <v>31</v>
      </c>
      <c r="C5" s="10" t="s">
        <v>32</v>
      </c>
      <c r="D5" s="11" t="n">
        <v>4.2</v>
      </c>
      <c r="E5" s="9" t="s">
        <v>24</v>
      </c>
      <c r="F5" s="10" t="s">
        <v>33</v>
      </c>
    </row>
    <row r="6" customFormat="false" ht="15" hidden="false" customHeight="false" outlineLevel="0" collapsed="false">
      <c r="A6" s="9" t="n">
        <v>5</v>
      </c>
      <c r="B6" s="10" t="s">
        <v>34</v>
      </c>
      <c r="C6" s="10" t="s">
        <v>35</v>
      </c>
      <c r="D6" s="11" t="n">
        <v>9.6</v>
      </c>
      <c r="E6" s="9" t="s">
        <v>36</v>
      </c>
      <c r="F6" s="10" t="s">
        <v>37</v>
      </c>
    </row>
    <row r="7" customFormat="false" ht="15" hidden="false" customHeight="false" outlineLevel="0" collapsed="false">
      <c r="A7" s="9" t="n">
        <v>6</v>
      </c>
      <c r="B7" s="10" t="s">
        <v>26</v>
      </c>
      <c r="C7" s="10" t="s">
        <v>38</v>
      </c>
      <c r="D7" s="11" t="n">
        <v>8.4</v>
      </c>
      <c r="E7" s="9" t="s">
        <v>39</v>
      </c>
      <c r="F7" s="10" t="s">
        <v>40</v>
      </c>
    </row>
    <row r="8" customFormat="false" ht="15" hidden="false" customHeight="false" outlineLevel="0" collapsed="false">
      <c r="A8" s="9" t="n">
        <v>7</v>
      </c>
      <c r="B8" s="10" t="s">
        <v>41</v>
      </c>
      <c r="C8" s="10" t="s">
        <v>42</v>
      </c>
      <c r="D8" s="11" t="n">
        <v>9.6</v>
      </c>
      <c r="E8" s="9" t="s">
        <v>24</v>
      </c>
      <c r="F8" s="10" t="s">
        <v>43</v>
      </c>
    </row>
    <row r="9" customFormat="false" ht="15" hidden="false" customHeight="false" outlineLevel="0" collapsed="false">
      <c r="A9" s="9" t="n">
        <v>8</v>
      </c>
      <c r="B9" s="10" t="s">
        <v>44</v>
      </c>
      <c r="C9" s="10" t="s">
        <v>35</v>
      </c>
      <c r="D9" s="11" t="n">
        <v>25.6</v>
      </c>
      <c r="E9" s="9" t="s">
        <v>36</v>
      </c>
      <c r="F9" s="10" t="s">
        <v>45</v>
      </c>
    </row>
    <row r="10" customFormat="false" ht="15" hidden="false" customHeight="false" outlineLevel="0" collapsed="false">
      <c r="A10" s="9" t="n">
        <v>9</v>
      </c>
      <c r="B10" s="10" t="s">
        <v>46</v>
      </c>
      <c r="C10" s="10" t="s">
        <v>47</v>
      </c>
      <c r="D10" s="11" t="n">
        <v>1.55</v>
      </c>
      <c r="E10" s="9" t="s">
        <v>24</v>
      </c>
      <c r="F10" s="10" t="s">
        <v>48</v>
      </c>
    </row>
    <row r="11" customFormat="false" ht="15" hidden="false" customHeight="false" outlineLevel="0" collapsed="false">
      <c r="A11" s="9" t="n">
        <v>10</v>
      </c>
      <c r="B11" s="10" t="s">
        <v>49</v>
      </c>
      <c r="C11" s="10" t="s">
        <v>50</v>
      </c>
      <c r="D11" s="11" t="n">
        <v>7.2</v>
      </c>
      <c r="E11" s="9" t="s">
        <v>24</v>
      </c>
      <c r="F11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8" t="s">
        <v>17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</row>
    <row r="2" customFormat="false" ht="15" hidden="false" customHeight="true" outlineLevel="0" collapsed="false">
      <c r="A2" s="10" t="s">
        <v>26</v>
      </c>
      <c r="B2" s="10" t="s">
        <v>58</v>
      </c>
      <c r="C2" s="10" t="s">
        <v>59</v>
      </c>
      <c r="D2" s="9" t="n">
        <v>14.77</v>
      </c>
      <c r="E2" s="12" t="n">
        <f aca="false">D2/Setup!$B$1</f>
        <v>0.07</v>
      </c>
      <c r="F2" s="9" t="s">
        <v>60</v>
      </c>
      <c r="G2" s="13" t="n">
        <f aca="false">E2*60</f>
        <v>4.2</v>
      </c>
    </row>
    <row r="3" customFormat="false" ht="15" hidden="false" customHeight="true" outlineLevel="0" collapsed="false">
      <c r="A3" s="10" t="s">
        <v>26</v>
      </c>
      <c r="B3" s="10" t="s">
        <v>38</v>
      </c>
      <c r="C3" s="10" t="s">
        <v>59</v>
      </c>
      <c r="D3" s="9" t="n">
        <v>29.54</v>
      </c>
      <c r="E3" s="12" t="n">
        <f aca="false">D3/Setup!$B$1</f>
        <v>0.14</v>
      </c>
      <c r="F3" s="9" t="s">
        <v>60</v>
      </c>
      <c r="G3" s="13" t="n">
        <f aca="false">E3*60</f>
        <v>8.4</v>
      </c>
    </row>
    <row r="4" customFormat="false" ht="15" hidden="false" customHeight="true" outlineLevel="0" collapsed="false">
      <c r="A4" s="10" t="s">
        <v>31</v>
      </c>
      <c r="B4" s="10" t="s">
        <v>61</v>
      </c>
      <c r="C4" s="10" t="s">
        <v>62</v>
      </c>
      <c r="D4" s="9" t="n">
        <v>73.85</v>
      </c>
      <c r="E4" s="12" t="n">
        <f aca="false">D4/Setup!$B$1</f>
        <v>0.35</v>
      </c>
      <c r="F4" s="9" t="s">
        <v>63</v>
      </c>
      <c r="G4" s="13" t="n">
        <f aca="false">E4*12</f>
        <v>4.2</v>
      </c>
    </row>
    <row r="5" customFormat="false" ht="15" hidden="false" customHeight="true" outlineLevel="0" collapsed="false">
      <c r="A5" s="10" t="s">
        <v>64</v>
      </c>
      <c r="B5" s="10" t="s">
        <v>61</v>
      </c>
      <c r="C5" s="10" t="s">
        <v>62</v>
      </c>
      <c r="D5" s="9" t="n">
        <v>103.39</v>
      </c>
      <c r="E5" s="12" t="n">
        <f aca="false">D5/Setup!$B$1</f>
        <v>0.49</v>
      </c>
      <c r="F5" s="9" t="s">
        <v>63</v>
      </c>
      <c r="G5" s="13" t="n">
        <f aca="false">E5*12</f>
        <v>5.88</v>
      </c>
    </row>
    <row r="6" customFormat="false" ht="15" hidden="false" customHeight="true" outlineLevel="0" collapsed="false">
      <c r="A6" s="10" t="s">
        <v>64</v>
      </c>
      <c r="B6" s="10" t="s">
        <v>65</v>
      </c>
      <c r="C6" s="10" t="s">
        <v>62</v>
      </c>
      <c r="D6" s="9" t="n">
        <v>59.08</v>
      </c>
      <c r="E6" s="12" t="n">
        <f aca="false">D6/Setup!$B$1</f>
        <v>0.28</v>
      </c>
      <c r="F6" s="9" t="s">
        <v>63</v>
      </c>
      <c r="G6" s="13" t="n">
        <f aca="false">E6*12</f>
        <v>3.36</v>
      </c>
    </row>
    <row r="7" customFormat="false" ht="15" hidden="false" customHeight="true" outlineLevel="0" collapsed="false">
      <c r="A7" s="10" t="s">
        <v>66</v>
      </c>
      <c r="B7" s="10" t="s">
        <v>67</v>
      </c>
      <c r="C7" s="10" t="s">
        <v>62</v>
      </c>
      <c r="D7" s="9" t="n">
        <v>295.4</v>
      </c>
      <c r="E7" s="12" t="n">
        <f aca="false">D7/Setup!$B$1</f>
        <v>1.4</v>
      </c>
      <c r="F7" s="9" t="s">
        <v>63</v>
      </c>
      <c r="G7" s="13" t="n">
        <f aca="false">E7*12</f>
        <v>16.8</v>
      </c>
    </row>
    <row r="8" customFormat="false" ht="15" hidden="false" customHeight="true" outlineLevel="0" collapsed="false">
      <c r="A8" s="10" t="s">
        <v>68</v>
      </c>
      <c r="B8" s="10" t="s">
        <v>67</v>
      </c>
      <c r="C8" s="10" t="s">
        <v>62</v>
      </c>
      <c r="D8" s="9" t="n">
        <v>295.4</v>
      </c>
      <c r="E8" s="12" t="n">
        <f aca="false">D8/Setup!$B$1</f>
        <v>1.4</v>
      </c>
      <c r="F8" s="9" t="s">
        <v>63</v>
      </c>
      <c r="G8" s="13" t="n">
        <f aca="false">E8*12</f>
        <v>16.8</v>
      </c>
    </row>
    <row r="9" customFormat="false" ht="15" hidden="false" customHeight="true" outlineLevel="0" collapsed="false">
      <c r="A9" s="10" t="s">
        <v>69</v>
      </c>
      <c r="B9" s="10" t="s">
        <v>61</v>
      </c>
      <c r="C9" s="10" t="s">
        <v>62</v>
      </c>
      <c r="D9" s="9" t="n">
        <v>103.39</v>
      </c>
      <c r="E9" s="12" t="n">
        <f aca="false">D9/Setup!$B$1</f>
        <v>0.49</v>
      </c>
      <c r="F9" s="9" t="s">
        <v>63</v>
      </c>
      <c r="G9" s="13" t="n">
        <f aca="false">E9*12</f>
        <v>5.88</v>
      </c>
    </row>
    <row r="10" customFormat="false" ht="15" hidden="false" customHeight="true" outlineLevel="0" collapsed="false">
      <c r="A10" s="10" t="s">
        <v>69</v>
      </c>
      <c r="B10" s="10" t="s">
        <v>65</v>
      </c>
      <c r="C10" s="10" t="s">
        <v>62</v>
      </c>
      <c r="D10" s="9" t="n">
        <v>59.08</v>
      </c>
      <c r="E10" s="12" t="n">
        <f aca="false">D10/Setup!$B$1</f>
        <v>0.28</v>
      </c>
      <c r="F10" s="9" t="s">
        <v>63</v>
      </c>
      <c r="G10" s="13" t="n">
        <f aca="false">E10*12</f>
        <v>3.36</v>
      </c>
    </row>
    <row r="11" customFormat="false" ht="15" hidden="false" customHeight="true" outlineLevel="0" collapsed="false">
      <c r="A11" s="10" t="s">
        <v>70</v>
      </c>
      <c r="B11" s="10" t="s">
        <v>61</v>
      </c>
      <c r="C11" s="10" t="s">
        <v>62</v>
      </c>
      <c r="D11" s="9" t="n">
        <v>103.39</v>
      </c>
      <c r="E11" s="12" t="n">
        <f aca="false">D11/Setup!$B$1</f>
        <v>0.49</v>
      </c>
      <c r="F11" s="9" t="s">
        <v>63</v>
      </c>
      <c r="G11" s="13" t="n">
        <f aca="false">E11*12</f>
        <v>5.88</v>
      </c>
    </row>
    <row r="12" customFormat="false" ht="15" hidden="false" customHeight="true" outlineLevel="0" collapsed="false">
      <c r="A12" s="10" t="s">
        <v>70</v>
      </c>
      <c r="B12" s="10" t="s">
        <v>65</v>
      </c>
      <c r="C12" s="10" t="s">
        <v>62</v>
      </c>
      <c r="D12" s="9" t="n">
        <v>59.08</v>
      </c>
      <c r="E12" s="12" t="n">
        <f aca="false">D12/Setup!$B$1</f>
        <v>0.28</v>
      </c>
      <c r="F12" s="9" t="s">
        <v>63</v>
      </c>
      <c r="G12" s="13" t="n">
        <f aca="false">E12*12</f>
        <v>3.36</v>
      </c>
    </row>
    <row r="13" customFormat="false" ht="15" hidden="false" customHeight="true" outlineLevel="0" collapsed="false">
      <c r="A13" s="10" t="s">
        <v>71</v>
      </c>
      <c r="B13" s="10" t="s">
        <v>72</v>
      </c>
      <c r="C13" s="10" t="s">
        <v>59</v>
      </c>
      <c r="D13" s="9" t="n">
        <v>17.72</v>
      </c>
      <c r="E13" s="12" t="n">
        <f aca="false">D13/Setup!$B$1</f>
        <v>0.0839810426540284</v>
      </c>
      <c r="F13" s="9" t="s">
        <v>60</v>
      </c>
      <c r="G13" s="13" t="n">
        <f aca="false">E13*60</f>
        <v>5.03886255924171</v>
      </c>
    </row>
    <row r="14" customFormat="false" ht="15" hidden="false" customHeight="true" outlineLevel="0" collapsed="false">
      <c r="A14" s="10" t="s">
        <v>71</v>
      </c>
      <c r="B14" s="10" t="s">
        <v>73</v>
      </c>
      <c r="C14" s="10" t="s">
        <v>59</v>
      </c>
      <c r="D14" s="9" t="n">
        <v>23.63</v>
      </c>
      <c r="E14" s="12" t="n">
        <f aca="false">D14/Setup!$B$1</f>
        <v>0.111990521327014</v>
      </c>
      <c r="F14" s="9" t="s">
        <v>60</v>
      </c>
      <c r="G14" s="13" t="n">
        <f aca="false">E14*60</f>
        <v>6.71943127962085</v>
      </c>
    </row>
    <row r="15" customFormat="false" ht="15" hidden="false" customHeight="true" outlineLevel="0" collapsed="false">
      <c r="A15" s="10" t="s">
        <v>71</v>
      </c>
      <c r="B15" s="10" t="s">
        <v>74</v>
      </c>
      <c r="C15" s="10" t="s">
        <v>59</v>
      </c>
      <c r="D15" s="9" t="n">
        <v>26.59</v>
      </c>
      <c r="E15" s="12" t="n">
        <f aca="false">D15/Setup!$B$1</f>
        <v>0.126018957345972</v>
      </c>
      <c r="F15" s="9" t="s">
        <v>60</v>
      </c>
      <c r="G15" s="13" t="n">
        <f aca="false">E15*60</f>
        <v>7.56113744075829</v>
      </c>
    </row>
    <row r="16" customFormat="false" ht="15" hidden="false" customHeight="true" outlineLevel="0" collapsed="false">
      <c r="A16" s="10" t="s">
        <v>71</v>
      </c>
      <c r="B16" s="10" t="s">
        <v>75</v>
      </c>
      <c r="C16" s="10" t="s">
        <v>59</v>
      </c>
      <c r="D16" s="9" t="n">
        <v>35.45</v>
      </c>
      <c r="E16" s="12" t="n">
        <f aca="false">D16/Setup!$B$1</f>
        <v>0.168009478672986</v>
      </c>
      <c r="F16" s="9" t="s">
        <v>60</v>
      </c>
      <c r="G16" s="13" t="n">
        <f aca="false">E16*60</f>
        <v>10.0805687203791</v>
      </c>
    </row>
    <row r="17" customFormat="false" ht="15" hidden="false" customHeight="true" outlineLevel="0" collapsed="false">
      <c r="A17" s="10" t="s">
        <v>76</v>
      </c>
      <c r="B17" s="10" t="s">
        <v>77</v>
      </c>
      <c r="C17" s="10" t="s">
        <v>78</v>
      </c>
      <c r="D17" s="9" t="n">
        <v>14.77</v>
      </c>
      <c r="E17" s="12" t="n">
        <f aca="false">D17/Setup!$B$1</f>
        <v>0.07</v>
      </c>
      <c r="F17" s="9" t="s">
        <v>63</v>
      </c>
      <c r="G17" s="13" t="s">
        <v>79</v>
      </c>
    </row>
    <row r="18" customFormat="false" ht="15" hidden="false" customHeight="true" outlineLevel="0" collapsed="false">
      <c r="A18" s="10" t="s">
        <v>76</v>
      </c>
      <c r="B18" s="10" t="s">
        <v>80</v>
      </c>
      <c r="C18" s="10" t="s">
        <v>78</v>
      </c>
      <c r="D18" s="9" t="n">
        <v>23.63</v>
      </c>
      <c r="E18" s="12" t="n">
        <f aca="false">D18/Setup!$B$1</f>
        <v>0.111990521327014</v>
      </c>
      <c r="F18" s="9" t="s">
        <v>63</v>
      </c>
      <c r="G18" s="13" t="s">
        <v>79</v>
      </c>
    </row>
    <row r="19" customFormat="false" ht="15" hidden="false" customHeight="true" outlineLevel="0" collapsed="false">
      <c r="A19" s="10" t="s">
        <v>81</v>
      </c>
      <c r="B19" s="10" t="s">
        <v>82</v>
      </c>
      <c r="C19" s="10" t="s">
        <v>78</v>
      </c>
      <c r="D19" s="9" t="n">
        <v>59.08</v>
      </c>
      <c r="E19" s="12" t="n">
        <f aca="false">D19/Setup!$B$1</f>
        <v>0.28</v>
      </c>
      <c r="F19" s="9" t="s">
        <v>63</v>
      </c>
      <c r="G19" s="13" t="s">
        <v>79</v>
      </c>
    </row>
    <row r="20" customFormat="false" ht="15" hidden="false" customHeight="true" outlineLevel="0" collapsed="false">
      <c r="A20" s="10" t="s">
        <v>83</v>
      </c>
      <c r="B20" s="10" t="s">
        <v>82</v>
      </c>
      <c r="C20" s="10" t="s">
        <v>78</v>
      </c>
      <c r="D20" s="9" t="n">
        <v>14.77</v>
      </c>
      <c r="E20" s="12" t="n">
        <f aca="false">D20/Setup!$B$1</f>
        <v>0.07</v>
      </c>
      <c r="F20" s="9" t="s">
        <v>63</v>
      </c>
      <c r="G20" s="1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5" min="3" style="1" width="14"/>
    <col collapsed="false" customWidth="true" hidden="false" outlineLevel="0" max="6" min="6" style="1" width="18"/>
    <col collapsed="false" customWidth="true" hidden="false" outlineLevel="0" max="7" min="7" style="1" width="36"/>
  </cols>
  <sheetData>
    <row r="1" customFormat="false" ht="31.5" hidden="false" customHeight="true" outlineLevel="0" collapsed="false">
      <c r="A1" s="8" t="s">
        <v>17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57</v>
      </c>
      <c r="G1" s="8" t="s">
        <v>88</v>
      </c>
    </row>
    <row r="2" customFormat="false" ht="15" hidden="false" customHeight="true" outlineLevel="0" collapsed="false">
      <c r="A2" s="10" t="s">
        <v>34</v>
      </c>
      <c r="B2" s="9" t="s">
        <v>89</v>
      </c>
      <c r="C2" s="9" t="s">
        <v>90</v>
      </c>
      <c r="D2" s="9" t="n">
        <v>168.8</v>
      </c>
      <c r="E2" s="14" t="n">
        <f aca="false">D2/Setup!$B$1</f>
        <v>0.8</v>
      </c>
      <c r="F2" s="13" t="n">
        <f aca="false">E2*8</f>
        <v>6.4</v>
      </c>
      <c r="G2" s="10" t="s">
        <v>91</v>
      </c>
    </row>
    <row r="3" customFormat="false" ht="15" hidden="false" customHeight="true" outlineLevel="0" collapsed="false">
      <c r="A3" s="10" t="s">
        <v>34</v>
      </c>
      <c r="B3" s="9" t="s">
        <v>92</v>
      </c>
      <c r="C3" s="9" t="s">
        <v>90</v>
      </c>
      <c r="D3" s="9" t="n">
        <v>253.2</v>
      </c>
      <c r="E3" s="14" t="n">
        <f aca="false">D3/Setup!$B$1</f>
        <v>1.2</v>
      </c>
      <c r="F3" s="13" t="n">
        <f aca="false">E3*8</f>
        <v>9.6</v>
      </c>
      <c r="G3" s="10" t="s">
        <v>93</v>
      </c>
    </row>
    <row r="4" customFormat="false" ht="15" hidden="false" customHeight="true" outlineLevel="0" collapsed="false">
      <c r="A4" s="10" t="s">
        <v>44</v>
      </c>
      <c r="B4" s="9" t="s">
        <v>89</v>
      </c>
      <c r="C4" s="9" t="s">
        <v>90</v>
      </c>
      <c r="D4" s="9" t="n">
        <v>337.6</v>
      </c>
      <c r="E4" s="14" t="n">
        <f aca="false">D4/Setup!$B$1</f>
        <v>1.6</v>
      </c>
      <c r="F4" s="13" t="n">
        <f aca="false">E4*8</f>
        <v>12.8</v>
      </c>
      <c r="G4" s="10" t="s">
        <v>94</v>
      </c>
    </row>
    <row r="5" customFormat="false" ht="15" hidden="false" customHeight="true" outlineLevel="0" collapsed="false">
      <c r="A5" s="10" t="s">
        <v>44</v>
      </c>
      <c r="B5" s="9" t="s">
        <v>92</v>
      </c>
      <c r="C5" s="9" t="s">
        <v>90</v>
      </c>
      <c r="D5" s="9" t="n">
        <v>675.2</v>
      </c>
      <c r="E5" s="14" t="n">
        <f aca="false">D5/Setup!$B$1</f>
        <v>3.2</v>
      </c>
      <c r="F5" s="13" t="n">
        <f aca="false">E5*8</f>
        <v>25.6</v>
      </c>
      <c r="G5" s="10" t="s">
        <v>95</v>
      </c>
    </row>
    <row r="6" customFormat="false" ht="15" hidden="false" customHeight="true" outlineLevel="0" collapsed="false">
      <c r="A6" s="10" t="s">
        <v>96</v>
      </c>
      <c r="B6" s="9" t="s">
        <v>82</v>
      </c>
      <c r="C6" s="9" t="s">
        <v>90</v>
      </c>
      <c r="D6" s="9" t="n">
        <v>105.5</v>
      </c>
      <c r="E6" s="14" t="n">
        <f aca="false">D6/Setup!$B$1</f>
        <v>0.5</v>
      </c>
      <c r="F6" s="13" t="n">
        <f aca="false">E6*8</f>
        <v>4</v>
      </c>
      <c r="G6" s="1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8" t="s">
        <v>17</v>
      </c>
      <c r="B1" s="8" t="s">
        <v>98</v>
      </c>
      <c r="C1" s="8" t="s">
        <v>99</v>
      </c>
      <c r="D1" s="8" t="s">
        <v>100</v>
      </c>
      <c r="E1" s="8" t="s">
        <v>57</v>
      </c>
    </row>
    <row r="2" customFormat="false" ht="15" hidden="false" customHeight="false" outlineLevel="0" collapsed="false">
      <c r="A2" s="10" t="s">
        <v>22</v>
      </c>
      <c r="B2" s="9" t="s">
        <v>101</v>
      </c>
      <c r="C2" s="9" t="n">
        <v>8.44</v>
      </c>
      <c r="D2" s="15" t="n">
        <f aca="false">C2/Setup!$B$1</f>
        <v>0.04</v>
      </c>
      <c r="E2" s="11" t="n">
        <f aca="false">D2*60</f>
        <v>2.4</v>
      </c>
    </row>
    <row r="3" customFormat="false" ht="15" hidden="false" customHeight="false" outlineLevel="0" collapsed="false">
      <c r="A3" s="10" t="s">
        <v>22</v>
      </c>
      <c r="B3" s="9" t="s">
        <v>102</v>
      </c>
      <c r="C3" s="9" t="n">
        <v>12.66</v>
      </c>
      <c r="D3" s="15" t="n">
        <f aca="false">C3/Setup!$B$1</f>
        <v>0.06</v>
      </c>
      <c r="E3" s="11" t="n">
        <f aca="false">D3*60</f>
        <v>3.6</v>
      </c>
    </row>
    <row r="4" customFormat="false" ht="15" hidden="false" customHeight="false" outlineLevel="0" collapsed="false">
      <c r="A4" s="10" t="s">
        <v>22</v>
      </c>
      <c r="B4" s="9" t="s">
        <v>42</v>
      </c>
      <c r="C4" s="9" t="n">
        <v>16.88</v>
      </c>
      <c r="D4" s="15" t="n">
        <f aca="false">C4/Setup!$B$1</f>
        <v>0.08</v>
      </c>
      <c r="E4" s="11" t="n">
        <f aca="false">D4*60</f>
        <v>4.8</v>
      </c>
    </row>
    <row r="5" customFormat="false" ht="15" hidden="false" customHeight="false" outlineLevel="0" collapsed="false">
      <c r="A5" s="10" t="s">
        <v>41</v>
      </c>
      <c r="B5" s="9" t="s">
        <v>101</v>
      </c>
      <c r="C5" s="9" t="n">
        <v>14.77</v>
      </c>
      <c r="D5" s="15" t="n">
        <f aca="false">C5/Setup!$B$1</f>
        <v>0.07</v>
      </c>
      <c r="E5" s="11" t="n">
        <f aca="false">D5*60</f>
        <v>4.2</v>
      </c>
    </row>
    <row r="6" customFormat="false" ht="15" hidden="false" customHeight="false" outlineLevel="0" collapsed="false">
      <c r="A6" s="10" t="s">
        <v>41</v>
      </c>
      <c r="B6" s="9" t="s">
        <v>102</v>
      </c>
      <c r="C6" s="9" t="n">
        <v>31.65</v>
      </c>
      <c r="D6" s="15" t="n">
        <f aca="false">C6/Setup!$B$1</f>
        <v>0.15</v>
      </c>
      <c r="E6" s="11" t="n">
        <f aca="false">D6*60</f>
        <v>9</v>
      </c>
    </row>
    <row r="7" customFormat="false" ht="15" hidden="false" customHeight="false" outlineLevel="0" collapsed="false">
      <c r="A7" s="10" t="s">
        <v>41</v>
      </c>
      <c r="B7" s="9" t="s">
        <v>42</v>
      </c>
      <c r="C7" s="9" t="n">
        <v>33.76</v>
      </c>
      <c r="D7" s="15" t="n">
        <f aca="false">C7/Setup!$B$1</f>
        <v>0.16</v>
      </c>
      <c r="E7" s="11" t="n">
        <f aca="false">D7*60</f>
        <v>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36"/>
  </cols>
  <sheetData>
    <row r="1" customFormat="false" ht="31.5" hidden="false" customHeight="true" outlineLevel="0" collapsed="false">
      <c r="A1" s="8" t="s">
        <v>17</v>
      </c>
      <c r="B1" s="8" t="s">
        <v>103</v>
      </c>
      <c r="C1" s="8" t="s">
        <v>53</v>
      </c>
      <c r="D1" s="8" t="s">
        <v>54</v>
      </c>
      <c r="E1" s="8" t="s">
        <v>104</v>
      </c>
      <c r="F1" s="8" t="s">
        <v>88</v>
      </c>
    </row>
    <row r="2" customFormat="false" ht="15" hidden="false" customHeight="true" outlineLevel="0" collapsed="false">
      <c r="A2" s="10" t="s">
        <v>105</v>
      </c>
      <c r="B2" s="9" t="s">
        <v>106</v>
      </c>
      <c r="C2" s="9" t="s">
        <v>107</v>
      </c>
      <c r="D2" s="9" t="n">
        <v>379.8</v>
      </c>
      <c r="E2" s="14" t="n">
        <f aca="false">D2/Setup!$B$1</f>
        <v>1.8</v>
      </c>
      <c r="F2" s="10" t="s">
        <v>108</v>
      </c>
    </row>
    <row r="3" customFormat="false" ht="15" hidden="false" customHeight="true" outlineLevel="0" collapsed="false">
      <c r="A3" s="10" t="s">
        <v>105</v>
      </c>
      <c r="B3" s="9" t="s">
        <v>109</v>
      </c>
      <c r="C3" s="9" t="s">
        <v>107</v>
      </c>
      <c r="D3" s="9" t="n">
        <v>379.8</v>
      </c>
      <c r="E3" s="14" t="n">
        <f aca="false">D3/Setup!$B$1</f>
        <v>1.8</v>
      </c>
      <c r="F3" s="10" t="s">
        <v>108</v>
      </c>
    </row>
    <row r="4" customFormat="false" ht="15" hidden="false" customHeight="true" outlineLevel="0" collapsed="false">
      <c r="A4" s="10" t="s">
        <v>110</v>
      </c>
      <c r="B4" s="9" t="s">
        <v>106</v>
      </c>
      <c r="C4" s="9" t="s">
        <v>107</v>
      </c>
      <c r="D4" s="9" t="n">
        <v>527.5</v>
      </c>
      <c r="E4" s="14" t="n">
        <f aca="false">D4/Setup!$B$1</f>
        <v>2.5</v>
      </c>
      <c r="F4" s="10" t="s">
        <v>111</v>
      </c>
    </row>
    <row r="5" customFormat="false" ht="15" hidden="false" customHeight="true" outlineLevel="0" collapsed="false">
      <c r="A5" s="10" t="s">
        <v>110</v>
      </c>
      <c r="B5" s="9" t="s">
        <v>109</v>
      </c>
      <c r="C5" s="9" t="s">
        <v>107</v>
      </c>
      <c r="D5" s="9" t="n">
        <v>527.5</v>
      </c>
      <c r="E5" s="14" t="n">
        <f aca="false">D5/Setup!$B$1</f>
        <v>2.5</v>
      </c>
      <c r="F5" s="10" t="s">
        <v>111</v>
      </c>
    </row>
    <row r="6" customFormat="false" ht="15" hidden="false" customHeight="true" outlineLevel="0" collapsed="false">
      <c r="A6" s="10" t="s">
        <v>112</v>
      </c>
      <c r="B6" s="9" t="s">
        <v>106</v>
      </c>
      <c r="C6" s="9" t="s">
        <v>107</v>
      </c>
      <c r="D6" s="9" t="n">
        <v>211</v>
      </c>
      <c r="E6" s="14" t="n">
        <f aca="false">D6/Setup!$B$1</f>
        <v>1</v>
      </c>
      <c r="F6" s="10" t="s">
        <v>113</v>
      </c>
    </row>
    <row r="7" customFormat="false" ht="15" hidden="false" customHeight="true" outlineLevel="0" collapsed="false">
      <c r="A7" s="10" t="s">
        <v>112</v>
      </c>
      <c r="B7" s="9" t="s">
        <v>109</v>
      </c>
      <c r="C7" s="9" t="s">
        <v>107</v>
      </c>
      <c r="D7" s="9" t="n">
        <v>211</v>
      </c>
      <c r="E7" s="14" t="n">
        <f aca="false">D7/Setup!$B$1</f>
        <v>1</v>
      </c>
      <c r="F7" s="10" t="s">
        <v>113</v>
      </c>
    </row>
    <row r="8" customFormat="false" ht="15" hidden="false" customHeight="true" outlineLevel="0" collapsed="false">
      <c r="A8" s="10" t="s">
        <v>46</v>
      </c>
      <c r="B8" s="9" t="s">
        <v>114</v>
      </c>
      <c r="C8" s="9" t="s">
        <v>107</v>
      </c>
      <c r="D8" s="9" t="n">
        <v>253.2</v>
      </c>
      <c r="E8" s="14" t="n">
        <f aca="false">D8/Setup!$B$1</f>
        <v>1.2</v>
      </c>
      <c r="F8" s="10" t="s">
        <v>115</v>
      </c>
    </row>
    <row r="9" customFormat="false" ht="15" hidden="false" customHeight="true" outlineLevel="0" collapsed="false">
      <c r="A9" s="10" t="s">
        <v>46</v>
      </c>
      <c r="B9" s="9" t="s">
        <v>35</v>
      </c>
      <c r="C9" s="9" t="s">
        <v>107</v>
      </c>
      <c r="D9" s="9" t="n">
        <v>506.4</v>
      </c>
      <c r="E9" s="14" t="n">
        <f aca="false">D9/Setup!$B$1</f>
        <v>2.4</v>
      </c>
      <c r="F9" s="10" t="s">
        <v>116</v>
      </c>
    </row>
    <row r="10" customFormat="false" ht="15" hidden="false" customHeight="true" outlineLevel="0" collapsed="false">
      <c r="A10" s="10" t="s">
        <v>117</v>
      </c>
      <c r="B10" s="9" t="s">
        <v>109</v>
      </c>
      <c r="C10" s="9" t="s">
        <v>107</v>
      </c>
      <c r="D10" s="9" t="n">
        <v>211</v>
      </c>
      <c r="E10" s="14" t="n">
        <f aca="false">D10/Setup!$B$1</f>
        <v>1</v>
      </c>
      <c r="F10" s="10" t="s">
        <v>118</v>
      </c>
    </row>
    <row r="12" customFormat="false" ht="15" hidden="false" customHeight="true" outlineLevel="0" collapsed="false">
      <c r="A12" s="4" t="s">
        <v>119</v>
      </c>
    </row>
    <row r="13" customFormat="false" ht="15" hidden="false" customHeight="true" outlineLevel="0" collapsed="false">
      <c r="A13" s="16" t="s">
        <v>120</v>
      </c>
      <c r="B13" s="17" t="n">
        <v>1280</v>
      </c>
    </row>
    <row r="14" customFormat="false" ht="15" hidden="false" customHeight="true" outlineLevel="0" collapsed="false">
      <c r="A14" s="16" t="s">
        <v>121</v>
      </c>
      <c r="B14" s="17" t="n">
        <v>720</v>
      </c>
    </row>
    <row r="15" customFormat="false" ht="15" hidden="false" customHeight="true" outlineLevel="0" collapsed="false">
      <c r="A15" s="16" t="s">
        <v>122</v>
      </c>
      <c r="B15" s="17" t="n">
        <v>24</v>
      </c>
    </row>
    <row r="16" customFormat="false" ht="15" hidden="false" customHeight="true" outlineLevel="0" collapsed="false">
      <c r="A16" s="16" t="s">
        <v>123</v>
      </c>
      <c r="B16" s="17" t="n">
        <v>60</v>
      </c>
    </row>
    <row r="17" customFormat="false" ht="15" hidden="false" customHeight="true" outlineLevel="0" collapsed="false">
      <c r="A17" s="16" t="s">
        <v>124</v>
      </c>
      <c r="B17" s="16" t="n">
        <f aca="false">(B13*B14*B15*B16)/1024</f>
        <v>1296000</v>
      </c>
    </row>
    <row r="18" customFormat="false" ht="15" hidden="false" customHeight="true" outlineLevel="0" collapsed="false">
      <c r="A18" s="16" t="s">
        <v>125</v>
      </c>
      <c r="B18" s="16" t="n">
        <f aca="false">B17/1000000</f>
        <v>1.296</v>
      </c>
    </row>
    <row r="20" customFormat="false" ht="15" hidden="false" customHeight="true" outlineLevel="0" collapsed="false">
      <c r="A20" s="4" t="s">
        <v>126</v>
      </c>
    </row>
    <row r="21" customFormat="false" ht="15" hidden="false" customHeight="true" outlineLevel="0" collapsed="false">
      <c r="A21" s="16" t="s">
        <v>105</v>
      </c>
      <c r="B21" s="18" t="n">
        <f aca="false">$B$18*E2</f>
        <v>2.3328</v>
      </c>
    </row>
    <row r="22" customFormat="false" ht="15" hidden="false" customHeight="true" outlineLevel="0" collapsed="false">
      <c r="A22" s="16" t="s">
        <v>110</v>
      </c>
      <c r="B22" s="18" t="n">
        <f aca="false">$B$18*E4</f>
        <v>3.24</v>
      </c>
    </row>
    <row r="23" customFormat="false" ht="15" hidden="false" customHeight="true" outlineLevel="0" collapsed="false">
      <c r="A23" s="16" t="s">
        <v>112</v>
      </c>
      <c r="B23" s="18" t="n">
        <f aca="false">$B$18*E6</f>
        <v>1.296</v>
      </c>
    </row>
    <row r="24" customFormat="false" ht="15" hidden="false" customHeight="true" outlineLevel="0" collapsed="false">
      <c r="A24" s="16" t="s">
        <v>127</v>
      </c>
      <c r="B24" s="18" t="n">
        <f aca="false">$B$18*E8</f>
        <v>1.5552</v>
      </c>
    </row>
    <row r="25" customFormat="false" ht="15" hidden="false" customHeight="true" outlineLevel="0" collapsed="false">
      <c r="A25" s="16" t="s">
        <v>128</v>
      </c>
      <c r="B25" s="18" t="n">
        <f aca="false">$B$18*E9</f>
        <v>3.1104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6" min="4" style="1" width="14"/>
    <col collapsed="false" customWidth="true" hidden="false" outlineLevel="0" max="7" min="7" style="1" width="20"/>
  </cols>
  <sheetData>
    <row r="1" customFormat="false" ht="31.5" hidden="false" customHeight="true" outlineLevel="0" collapsed="false">
      <c r="A1" s="8" t="s">
        <v>17</v>
      </c>
      <c r="B1" s="8" t="s">
        <v>129</v>
      </c>
      <c r="C1" s="8" t="s">
        <v>130</v>
      </c>
      <c r="D1" s="8" t="s">
        <v>85</v>
      </c>
      <c r="E1" s="8" t="s">
        <v>86</v>
      </c>
      <c r="F1" s="8" t="s">
        <v>87</v>
      </c>
      <c r="G1" s="8" t="s">
        <v>57</v>
      </c>
    </row>
    <row r="2" customFormat="false" ht="15" hidden="false" customHeight="true" outlineLevel="0" collapsed="false">
      <c r="A2" s="9" t="s">
        <v>131</v>
      </c>
      <c r="B2" s="9" t="s">
        <v>132</v>
      </c>
      <c r="C2" s="9" t="s">
        <v>133</v>
      </c>
      <c r="D2" s="9" t="s">
        <v>134</v>
      </c>
      <c r="E2" s="9" t="n">
        <v>94.95</v>
      </c>
      <c r="F2" s="14" t="n">
        <f aca="false">E2/Setup!$B$1</f>
        <v>0.45</v>
      </c>
      <c r="G2" s="13" t="n">
        <f aca="false">F2*12</f>
        <v>5.4</v>
      </c>
    </row>
    <row r="3" customFormat="false" ht="15" hidden="false" customHeight="true" outlineLevel="0" collapsed="false">
      <c r="A3" s="9" t="s">
        <v>131</v>
      </c>
      <c r="B3" s="9" t="s">
        <v>101</v>
      </c>
      <c r="C3" s="9" t="s">
        <v>133</v>
      </c>
      <c r="D3" s="9" t="s">
        <v>134</v>
      </c>
      <c r="E3" s="9" t="n">
        <v>94.95</v>
      </c>
      <c r="F3" s="14" t="n">
        <f aca="false">E3/Setup!$B$1</f>
        <v>0.45</v>
      </c>
      <c r="G3" s="13" t="n">
        <f aca="false">F3*12</f>
        <v>5.4</v>
      </c>
    </row>
    <row r="4" customFormat="false" ht="15" hidden="false" customHeight="true" outlineLevel="0" collapsed="false">
      <c r="A4" s="9" t="s">
        <v>131</v>
      </c>
      <c r="B4" s="9" t="s">
        <v>102</v>
      </c>
      <c r="C4" s="9" t="s">
        <v>133</v>
      </c>
      <c r="D4" s="9" t="s">
        <v>134</v>
      </c>
      <c r="E4" s="9" t="n">
        <v>126.6</v>
      </c>
      <c r="F4" s="14" t="n">
        <f aca="false">E4/Setup!$B$1</f>
        <v>0.6</v>
      </c>
      <c r="G4" s="13" t="n">
        <f aca="false">F4*12</f>
        <v>7.2</v>
      </c>
    </row>
    <row r="5" customFormat="false" ht="15" hidden="false" customHeight="true" outlineLevel="0" collapsed="false">
      <c r="A5" s="9" t="s">
        <v>131</v>
      </c>
      <c r="B5" s="9" t="s">
        <v>42</v>
      </c>
      <c r="C5" s="9" t="s">
        <v>133</v>
      </c>
      <c r="D5" s="9" t="s">
        <v>134</v>
      </c>
      <c r="E5" s="9" t="n">
        <v>253.2</v>
      </c>
      <c r="F5" s="14" t="n">
        <f aca="false">E5/Setup!$B$1</f>
        <v>1.2</v>
      </c>
      <c r="G5" s="13" t="n">
        <f aca="false">F5*12</f>
        <v>14.4</v>
      </c>
    </row>
    <row r="6" customFormat="false" ht="15" hidden="false" customHeight="true" outlineLevel="0" collapsed="false">
      <c r="A6" s="9" t="s">
        <v>131</v>
      </c>
      <c r="B6" s="9" t="s">
        <v>132</v>
      </c>
      <c r="C6" s="9" t="s">
        <v>135</v>
      </c>
      <c r="D6" s="9" t="s">
        <v>134</v>
      </c>
      <c r="E6" s="9" t="n">
        <v>189.9</v>
      </c>
      <c r="F6" s="14" t="n">
        <f aca="false">E6/Setup!$B$1</f>
        <v>0.9</v>
      </c>
      <c r="G6" s="13" t="n">
        <f aca="false">F6*12</f>
        <v>10.8</v>
      </c>
    </row>
    <row r="7" customFormat="false" ht="15" hidden="false" customHeight="true" outlineLevel="0" collapsed="false">
      <c r="A7" s="9" t="s">
        <v>131</v>
      </c>
      <c r="B7" s="9" t="s">
        <v>101</v>
      </c>
      <c r="C7" s="9" t="s">
        <v>135</v>
      </c>
      <c r="D7" s="9" t="s">
        <v>134</v>
      </c>
      <c r="E7" s="9" t="n">
        <v>189.9</v>
      </c>
      <c r="F7" s="14" t="n">
        <f aca="false">E7/Setup!$B$1</f>
        <v>0.9</v>
      </c>
      <c r="G7" s="13" t="n">
        <f aca="false">F7*12</f>
        <v>10.8</v>
      </c>
    </row>
    <row r="8" customFormat="false" ht="15" hidden="false" customHeight="true" outlineLevel="0" collapsed="false">
      <c r="A8" s="9" t="s">
        <v>131</v>
      </c>
      <c r="B8" s="9" t="s">
        <v>102</v>
      </c>
      <c r="C8" s="9" t="s">
        <v>135</v>
      </c>
      <c r="D8" s="9" t="s">
        <v>134</v>
      </c>
      <c r="E8" s="9" t="n">
        <v>253.2</v>
      </c>
      <c r="F8" s="14" t="n">
        <f aca="false">E8/Setup!$B$1</f>
        <v>1.2</v>
      </c>
      <c r="G8" s="13" t="n">
        <f aca="false">F8*12</f>
        <v>14.4</v>
      </c>
    </row>
    <row r="9" customFormat="false" ht="15" hidden="false" customHeight="true" outlineLevel="0" collapsed="false">
      <c r="A9" s="9" t="s">
        <v>131</v>
      </c>
      <c r="B9" s="9" t="s">
        <v>132</v>
      </c>
      <c r="C9" s="9" t="s">
        <v>133</v>
      </c>
      <c r="D9" s="9" t="s">
        <v>90</v>
      </c>
      <c r="E9" s="9" t="n">
        <v>189.9</v>
      </c>
      <c r="F9" s="14" t="n">
        <f aca="false">E9/Setup!$B$1</f>
        <v>0.9</v>
      </c>
      <c r="G9" s="13" t="n">
        <f aca="false">F9*8</f>
        <v>7.2</v>
      </c>
    </row>
    <row r="10" customFormat="false" ht="15" hidden="false" customHeight="true" outlineLevel="0" collapsed="false">
      <c r="A10" s="9" t="s">
        <v>131</v>
      </c>
      <c r="B10" s="9" t="s">
        <v>101</v>
      </c>
      <c r="C10" s="9" t="s">
        <v>133</v>
      </c>
      <c r="D10" s="9" t="s">
        <v>90</v>
      </c>
      <c r="E10" s="9" t="n">
        <v>189.9</v>
      </c>
      <c r="F10" s="14" t="n">
        <f aca="false">E10/Setup!$B$1</f>
        <v>0.9</v>
      </c>
      <c r="G10" s="13" t="n">
        <f aca="false">F10*8</f>
        <v>7.2</v>
      </c>
    </row>
    <row r="11" customFormat="false" ht="15" hidden="false" customHeight="true" outlineLevel="0" collapsed="false">
      <c r="A11" s="9" t="s">
        <v>131</v>
      </c>
      <c r="B11" s="9" t="s">
        <v>102</v>
      </c>
      <c r="C11" s="9" t="s">
        <v>133</v>
      </c>
      <c r="D11" s="9" t="s">
        <v>90</v>
      </c>
      <c r="E11" s="9" t="n">
        <v>253.2</v>
      </c>
      <c r="F11" s="14" t="n">
        <f aca="false">E11/Setup!$B$1</f>
        <v>1.2</v>
      </c>
      <c r="G11" s="13" t="n">
        <f aca="false">F11*8</f>
        <v>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2026-04-08T01:16:21Z</dcterms:created>
  <dc:creator>openpyxl</dc:creator>
  <dc:description/>
  <dc:language>en-US</dc:language>
  <cp:lastModifiedBy/>
  <dcterms:modified xsi:type="dcterms:W3CDTF">2026-04-08T01:27:29Z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